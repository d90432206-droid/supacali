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-antigravity-AI\08_CHUYI_CALIBRATION\excel_quotes\"/>
    </mc:Choice>
  </mc:AlternateContent>
  <bookViews>
    <workbookView xWindow="0" yWindow="0" windowWidth="28800" windowHeight="11903"/>
  </bookViews>
  <sheets>
    <sheet name="F-26200" sheetId="1" r:id="rId1"/>
  </sheets>
  <definedNames>
    <definedName name="_xlnm.Print_Area" localSheetId="0">'F-26200'!$A$1:$F$64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1" l="1"/>
  <c r="F39" i="1"/>
  <c r="F29" i="1"/>
  <c r="F28" i="1"/>
  <c r="F22" i="1"/>
  <c r="F15" i="1"/>
  <c r="E46" i="1" s="1"/>
  <c r="F46" i="1" s="1"/>
  <c r="F13" i="1" s="1"/>
  <c r="G50" i="1" s="1"/>
</calcChain>
</file>

<file path=xl/comments1.xml><?xml version="1.0" encoding="utf-8"?>
<comments xmlns="http://schemas.openxmlformats.org/spreadsheetml/2006/main">
  <authors>
    <author>user</author>
  </authors>
  <commentList>
    <comment ref="B18" authorId="0" shapeId="0">
      <text>
        <r>
          <rPr>
            <b/>
            <sz val="16"/>
            <color indexed="81"/>
            <rFont val="標楷體"/>
            <family val="4"/>
            <charset val="136"/>
          </rPr>
          <t>2026年
校正點更新-跟93020 24023統一
-30℃、-18℃、3℃、15℃、30℃、90℃、140℃</t>
        </r>
      </text>
    </comment>
  </commentList>
</comments>
</file>

<file path=xl/sharedStrings.xml><?xml version="1.0" encoding="utf-8"?>
<sst xmlns="http://schemas.openxmlformats.org/spreadsheetml/2006/main" count="92" uniqueCount="89">
  <si>
    <r>
      <t>To</t>
    </r>
    <r>
      <rPr>
        <sz val="18"/>
        <rFont val="標楷體"/>
        <family val="4"/>
        <charset val="136"/>
      </rPr>
      <t>：邵紀荃</t>
    </r>
    <r>
      <rPr>
        <sz val="18"/>
        <rFont val="Times New Roman"/>
        <family val="1"/>
      </rPr>
      <t xml:space="preserve"> </t>
    </r>
    <r>
      <rPr>
        <sz val="18"/>
        <rFont val="標楷體"/>
        <family val="4"/>
        <charset val="136"/>
      </rPr>
      <t>經理</t>
    </r>
    <r>
      <rPr>
        <sz val="18"/>
        <rFont val="Times New Roman"/>
        <family val="1"/>
      </rPr>
      <t xml:space="preserve">  </t>
    </r>
    <r>
      <rPr>
        <sz val="18"/>
        <rFont val="標楷體"/>
        <family val="4"/>
        <charset val="136"/>
      </rPr>
      <t>電話</t>
    </r>
    <r>
      <rPr>
        <sz val="18"/>
        <rFont val="Times New Roman"/>
        <family val="1"/>
      </rPr>
      <t>(03)483-9090#7222</t>
    </r>
    <phoneticPr fontId="4" type="noConversion"/>
  </si>
  <si>
    <t>stshao@ms.tertec.org.tw</t>
    <phoneticPr fontId="4" type="noConversion"/>
  </si>
  <si>
    <t>制宜電測股份有限公司</t>
    <phoneticPr fontId="4" type="noConversion"/>
  </si>
  <si>
    <t>Chuyi  System  Co.,  Ltd.</t>
  </si>
  <si>
    <t>新北市三重區光復路二段88巷38號</t>
  </si>
  <si>
    <t>電話(02)2995-3173   傳真(02)2995-6436</t>
  </si>
  <si>
    <t xml:space="preserve">                                                         </t>
  </si>
  <si>
    <t xml:space="preserve"> (觀音廠)桃園市觀音區中觀路一段120號</t>
  </si>
  <si>
    <t>電話(03)490-1126</t>
  </si>
  <si>
    <t xml:space="preserve">                                                                                     </t>
  </si>
  <si>
    <r>
      <t>E-mail</t>
    </r>
    <r>
      <rPr>
        <sz val="16"/>
        <rFont val="細明體"/>
        <family val="3"/>
        <charset val="136"/>
      </rPr>
      <t>：</t>
    </r>
    <r>
      <rPr>
        <sz val="16"/>
        <rFont val="Times New Roman"/>
        <family val="1"/>
      </rPr>
      <t>taipei@chuyi.com.tw</t>
    </r>
  </si>
  <si>
    <t>http://www.chuyi.com.tw</t>
  </si>
  <si>
    <r>
      <rPr>
        <b/>
        <sz val="42"/>
        <rFont val="標楷體"/>
        <family val="4"/>
        <charset val="136"/>
      </rPr>
      <t>校驗報價單</t>
    </r>
    <phoneticPr fontId="15" type="noConversion"/>
  </si>
  <si>
    <r>
      <rPr>
        <sz val="26"/>
        <rFont val="標楷體"/>
        <family val="4"/>
        <charset val="136"/>
      </rPr>
      <t>尊戶</t>
    </r>
    <r>
      <rPr>
        <sz val="26"/>
        <rFont val="Times New Roman"/>
        <family val="1"/>
      </rPr>
      <t>:</t>
    </r>
  </si>
  <si>
    <t>財團法人台灣大電力研究試驗中心</t>
    <phoneticPr fontId="4" type="noConversion"/>
  </si>
  <si>
    <r>
      <rPr>
        <sz val="20"/>
        <rFont val="標楷體"/>
        <family val="4"/>
        <charset val="136"/>
      </rPr>
      <t>報價編號</t>
    </r>
    <r>
      <rPr>
        <sz val="20"/>
        <rFont val="Times New Roman"/>
        <family val="1"/>
      </rPr>
      <t>:</t>
    </r>
    <phoneticPr fontId="4" type="noConversion"/>
  </si>
  <si>
    <t>F-26200</t>
    <phoneticPr fontId="4" type="noConversion"/>
  </si>
  <si>
    <r>
      <rPr>
        <sz val="20"/>
        <rFont val="標楷體"/>
        <family val="4"/>
        <charset val="136"/>
      </rPr>
      <t>報價日期</t>
    </r>
    <r>
      <rPr>
        <sz val="20"/>
        <rFont val="Times New Roman"/>
        <family val="1"/>
      </rPr>
      <t>:</t>
    </r>
  </si>
  <si>
    <t>同F-23200價格</t>
    <phoneticPr fontId="4" type="noConversion"/>
  </si>
  <si>
    <r>
      <rPr>
        <sz val="20"/>
        <rFont val="標楷體"/>
        <family val="4"/>
        <charset val="136"/>
      </rPr>
      <t>項目</t>
    </r>
  </si>
  <si>
    <r>
      <rPr>
        <sz val="20"/>
        <rFont val="標楷體"/>
        <family val="4"/>
        <charset val="136"/>
      </rPr>
      <t>品</t>
    </r>
    <r>
      <rPr>
        <sz val="20"/>
        <rFont val="Times New Roman"/>
        <family val="1"/>
      </rPr>
      <t xml:space="preserve"> </t>
    </r>
    <r>
      <rPr>
        <sz val="20"/>
        <rFont val="標楷體"/>
        <family val="4"/>
        <charset val="136"/>
      </rPr>
      <t>名</t>
    </r>
    <r>
      <rPr>
        <sz val="20"/>
        <rFont val="Times New Roman"/>
        <family val="1"/>
      </rPr>
      <t xml:space="preserve"> </t>
    </r>
    <r>
      <rPr>
        <sz val="20"/>
        <rFont val="標楷體"/>
        <family val="4"/>
        <charset val="136"/>
      </rPr>
      <t>及</t>
    </r>
    <r>
      <rPr>
        <sz val="20"/>
        <rFont val="Times New Roman"/>
        <family val="1"/>
      </rPr>
      <t xml:space="preserve"> </t>
    </r>
    <r>
      <rPr>
        <sz val="20"/>
        <rFont val="標楷體"/>
        <family val="4"/>
        <charset val="136"/>
      </rPr>
      <t>說</t>
    </r>
    <r>
      <rPr>
        <sz val="20"/>
        <rFont val="Times New Roman"/>
        <family val="1"/>
      </rPr>
      <t xml:space="preserve"> </t>
    </r>
    <r>
      <rPr>
        <sz val="20"/>
        <rFont val="標楷體"/>
        <family val="4"/>
        <charset val="136"/>
      </rPr>
      <t>明</t>
    </r>
  </si>
  <si>
    <r>
      <rPr>
        <sz val="20"/>
        <rFont val="標楷體"/>
        <family val="4"/>
        <charset val="136"/>
      </rPr>
      <t>設備編號</t>
    </r>
  </si>
  <si>
    <t>數量</t>
    <phoneticPr fontId="4" type="noConversion"/>
  </si>
  <si>
    <r>
      <rPr>
        <sz val="20"/>
        <rFont val="標楷體"/>
        <family val="4"/>
        <charset val="136"/>
      </rPr>
      <t>單價</t>
    </r>
  </si>
  <si>
    <r>
      <rPr>
        <sz val="20"/>
        <rFont val="標楷體"/>
        <family val="4"/>
        <charset val="136"/>
      </rPr>
      <t>總</t>
    </r>
    <r>
      <rPr>
        <sz val="20"/>
        <rFont val="Times New Roman"/>
        <family val="1"/>
      </rPr>
      <t xml:space="preserve"> </t>
    </r>
    <r>
      <rPr>
        <sz val="20"/>
        <rFont val="標楷體"/>
        <family val="4"/>
        <charset val="136"/>
      </rPr>
      <t>價</t>
    </r>
  </si>
  <si>
    <t>電冰箱及多功能性能試驗室校驗</t>
    <phoneticPr fontId="1" type="noConversion"/>
  </si>
  <si>
    <t>#99078</t>
    <phoneticPr fontId="4" type="noConversion"/>
  </si>
  <si>
    <t>A.</t>
    <phoneticPr fontId="4" type="noConversion"/>
  </si>
  <si>
    <t>現場校正</t>
    <phoneticPr fontId="4" type="noConversion"/>
  </si>
  <si>
    <t>1.</t>
    <phoneticPr fontId="35" type="noConversion"/>
  </si>
  <si>
    <r>
      <rPr>
        <sz val="22"/>
        <rFont val="標楷體"/>
        <family val="4"/>
        <charset val="136"/>
      </rPr>
      <t>熱電偶溫度線</t>
    </r>
    <r>
      <rPr>
        <sz val="22"/>
        <rFont val="Times New Roman"/>
        <family val="1"/>
      </rPr>
      <t>(</t>
    </r>
    <r>
      <rPr>
        <sz val="22"/>
        <rFont val="標楷體"/>
        <family val="4"/>
        <charset val="136"/>
      </rPr>
      <t>最小不確定度</t>
    </r>
    <r>
      <rPr>
        <sz val="22"/>
        <rFont val="Times New Roman"/>
        <family val="1"/>
      </rPr>
      <t xml:space="preserve"> 0.2 </t>
    </r>
    <r>
      <rPr>
        <sz val="22"/>
        <rFont val="標楷體"/>
        <family val="4"/>
        <charset val="136"/>
      </rPr>
      <t>℃</t>
    </r>
    <r>
      <rPr>
        <sz val="22"/>
        <rFont val="Times New Roman"/>
        <family val="1"/>
      </rPr>
      <t>)</t>
    </r>
    <phoneticPr fontId="4" type="noConversion"/>
  </si>
  <si>
    <t>@150</t>
    <phoneticPr fontId="4" type="noConversion"/>
  </si>
  <si>
    <r>
      <t>CHANNEL</t>
    </r>
    <r>
      <rPr>
        <sz val="18"/>
        <rFont val="標楷體"/>
        <family val="4"/>
        <charset val="136"/>
      </rPr>
      <t>：</t>
    </r>
    <r>
      <rPr>
        <sz val="18"/>
        <rFont val="Times New Roman"/>
        <family val="1"/>
      </rPr>
      <t>90CH</t>
    </r>
    <phoneticPr fontId="4" type="noConversion"/>
  </si>
  <si>
    <r>
      <t>CH</t>
    </r>
    <r>
      <rPr>
        <sz val="18"/>
        <rFont val="標楷體"/>
        <family val="4"/>
        <charset val="136"/>
      </rPr>
      <t>：</t>
    </r>
    <r>
      <rPr>
        <sz val="18"/>
        <rFont val="Times New Roman"/>
        <family val="1"/>
      </rPr>
      <t>01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16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31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46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101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116</t>
    </r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</si>
  <si>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 xml:space="preserve"> 0/3/50/100/140 </t>
    </r>
    <r>
      <rPr>
        <sz val="18"/>
        <rFont val="標楷體"/>
        <family val="4"/>
        <charset val="136"/>
      </rPr>
      <t>℃</t>
    </r>
    <phoneticPr fontId="4" type="noConversion"/>
  </si>
  <si>
    <r>
      <t>CH</t>
    </r>
    <r>
      <rPr>
        <sz val="18"/>
        <rFont val="標楷體"/>
        <family val="4"/>
        <charset val="136"/>
      </rPr>
      <t>：</t>
    </r>
    <r>
      <rPr>
        <sz val="18"/>
        <rFont val="Times New Roman"/>
        <family val="1"/>
      </rPr>
      <t>02-15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17-30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32-45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47-60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102-115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117-130</t>
    </r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</si>
  <si>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 xml:space="preserve"> 50 </t>
    </r>
    <r>
      <rPr>
        <sz val="18"/>
        <rFont val="標楷體"/>
        <family val="4"/>
        <charset val="136"/>
      </rPr>
      <t>℃</t>
    </r>
    <phoneticPr fontId="4" type="noConversion"/>
  </si>
  <si>
    <t>2.</t>
    <phoneticPr fontId="35" type="noConversion"/>
  </si>
  <si>
    <r>
      <rPr>
        <sz val="22"/>
        <rFont val="標楷體"/>
        <family val="4"/>
        <charset val="136"/>
      </rPr>
      <t>溫度部份</t>
    </r>
    <r>
      <rPr>
        <sz val="22"/>
        <rFont val="Times New Roman"/>
        <family val="1"/>
      </rPr>
      <t>(</t>
    </r>
    <r>
      <rPr>
        <sz val="22"/>
        <rFont val="標楷體"/>
        <family val="4"/>
        <charset val="136"/>
      </rPr>
      <t>最小不確定度</t>
    </r>
    <r>
      <rPr>
        <sz val="22"/>
        <rFont val="Times New Roman"/>
        <family val="1"/>
      </rPr>
      <t xml:space="preserve"> 0.080 </t>
    </r>
    <r>
      <rPr>
        <sz val="22"/>
        <rFont val="標楷體"/>
        <family val="4"/>
        <charset val="136"/>
      </rPr>
      <t>℃</t>
    </r>
    <r>
      <rPr>
        <sz val="22"/>
        <rFont val="Times New Roman"/>
        <family val="1"/>
      </rPr>
      <t>)</t>
    </r>
    <phoneticPr fontId="35" type="noConversion"/>
  </si>
  <si>
    <r>
      <rPr>
        <sz val="22"/>
        <rFont val="標楷體"/>
        <family val="4"/>
        <charset val="136"/>
      </rPr>
      <t>白金電阻溫度計</t>
    </r>
    <phoneticPr fontId="4" type="noConversion"/>
  </si>
  <si>
    <r>
      <rPr>
        <sz val="22"/>
        <rFont val="細明體"/>
        <family val="3"/>
        <charset val="136"/>
      </rPr>
      <t>比照</t>
    </r>
    <r>
      <rPr>
        <sz val="22"/>
        <rFont val="Times New Roman"/>
        <family val="1"/>
      </rPr>
      <t>PT TAF</t>
    </r>
    <r>
      <rPr>
        <sz val="22"/>
        <rFont val="細明體"/>
        <family val="3"/>
        <charset val="136"/>
      </rPr>
      <t>標準</t>
    </r>
    <r>
      <rPr>
        <sz val="22"/>
        <rFont val="Times New Roman"/>
        <family val="1"/>
      </rPr>
      <t>6000</t>
    </r>
    <r>
      <rPr>
        <sz val="22"/>
        <rFont val="細明體"/>
        <family val="3"/>
        <charset val="136"/>
      </rPr>
      <t>收費</t>
    </r>
    <r>
      <rPr>
        <sz val="22"/>
        <rFont val="Times New Roman"/>
        <family val="1"/>
      </rPr>
      <t>(</t>
    </r>
    <r>
      <rPr>
        <sz val="22"/>
        <rFont val="細明體"/>
        <family val="3"/>
        <charset val="136"/>
      </rPr>
      <t>特例</t>
    </r>
    <r>
      <rPr>
        <sz val="22"/>
        <rFont val="Times New Roman"/>
        <family val="1"/>
      </rPr>
      <t>)</t>
    </r>
    <phoneticPr fontId="4" type="noConversion"/>
  </si>
  <si>
    <r>
      <t>CH</t>
    </r>
    <r>
      <rPr>
        <sz val="18"/>
        <rFont val="標楷體"/>
        <family val="4"/>
        <charset val="136"/>
      </rPr>
      <t>：</t>
    </r>
    <r>
      <rPr>
        <sz val="18"/>
        <rFont val="Times New Roman"/>
        <family val="1"/>
      </rPr>
      <t>131</t>
    </r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</si>
  <si>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 xml:space="preserve"> 0/15/20/25/27/30/32/35/45 </t>
    </r>
    <r>
      <rPr>
        <sz val="18"/>
        <rFont val="標楷體"/>
        <family val="4"/>
        <charset val="136"/>
      </rPr>
      <t>℃</t>
    </r>
    <phoneticPr fontId="4" type="noConversion"/>
  </si>
  <si>
    <r>
      <t>CH</t>
    </r>
    <r>
      <rPr>
        <sz val="18"/>
        <rFont val="標楷體"/>
        <family val="4"/>
        <charset val="136"/>
      </rPr>
      <t>：</t>
    </r>
    <r>
      <rPr>
        <sz val="18"/>
        <rFont val="Times New Roman"/>
        <family val="1"/>
      </rPr>
      <t>132</t>
    </r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</si>
  <si>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 xml:space="preserve"> 15/19/21.21/21.68/26.04/26.3 </t>
    </r>
    <r>
      <rPr>
        <sz val="18"/>
        <rFont val="標楷體"/>
        <family val="4"/>
        <charset val="136"/>
      </rPr>
      <t>℃</t>
    </r>
    <phoneticPr fontId="4" type="noConversion"/>
  </si>
  <si>
    <t>3.</t>
    <phoneticPr fontId="4" type="noConversion"/>
  </si>
  <si>
    <t>數位電力計</t>
    <phoneticPr fontId="4" type="noConversion"/>
  </si>
  <si>
    <r>
      <rPr>
        <sz val="22"/>
        <rFont val="標楷體"/>
        <family val="4"/>
        <charset val="136"/>
      </rPr>
      <t>數位電力計(單相)</t>
    </r>
    <r>
      <rPr>
        <sz val="22"/>
        <rFont val="Times New Roman"/>
        <family val="1"/>
      </rPr>
      <t>(WT210)</t>
    </r>
    <phoneticPr fontId="4" type="noConversion"/>
  </si>
  <si>
    <r>
      <rPr>
        <sz val="22"/>
        <rFont val="標楷體"/>
        <family val="4"/>
        <charset val="136"/>
      </rPr>
      <t>數位電力計(三相)</t>
    </r>
    <r>
      <rPr>
        <sz val="22"/>
        <rFont val="Times New Roman"/>
        <family val="1"/>
      </rPr>
      <t>(WT230)-</t>
    </r>
    <r>
      <rPr>
        <sz val="22"/>
        <rFont val="標楷體"/>
        <family val="4"/>
        <charset val="136"/>
      </rPr>
      <t>只校單相</t>
    </r>
    <phoneticPr fontId="4" type="noConversion"/>
  </si>
  <si>
    <t>實際只有使用單相功能</t>
    <phoneticPr fontId="4" type="noConversion"/>
  </si>
  <si>
    <r>
      <t>(</t>
    </r>
    <r>
      <rPr>
        <b/>
        <sz val="22"/>
        <rFont val="標楷體"/>
        <family val="4"/>
        <charset val="136"/>
      </rPr>
      <t>交流電壓表</t>
    </r>
    <r>
      <rPr>
        <b/>
        <sz val="22"/>
        <rFont val="Times New Roman"/>
        <family val="1"/>
      </rPr>
      <t xml:space="preserve"> </t>
    </r>
    <r>
      <rPr>
        <b/>
        <sz val="22"/>
        <rFont val="標楷體"/>
        <family val="4"/>
        <charset val="136"/>
      </rPr>
      <t>最小不確定度</t>
    </r>
    <r>
      <rPr>
        <b/>
        <sz val="22"/>
        <rFont val="Times New Roman"/>
        <family val="1"/>
      </rPr>
      <t xml:space="preserve"> 4.8 mV/V 60Hz)</t>
    </r>
    <phoneticPr fontId="4" type="noConversion"/>
  </si>
  <si>
    <r>
      <t>(</t>
    </r>
    <r>
      <rPr>
        <b/>
        <sz val="22"/>
        <rFont val="標楷體"/>
        <family val="4"/>
        <charset val="136"/>
      </rPr>
      <t>交流電流表</t>
    </r>
    <r>
      <rPr>
        <b/>
        <sz val="22"/>
        <rFont val="Times New Roman"/>
        <family val="1"/>
      </rPr>
      <t xml:space="preserve"> </t>
    </r>
    <r>
      <rPr>
        <b/>
        <sz val="22"/>
        <rFont val="標楷體"/>
        <family val="4"/>
        <charset val="136"/>
      </rPr>
      <t>最小不確定度</t>
    </r>
    <r>
      <rPr>
        <b/>
        <sz val="22"/>
        <rFont val="Times New Roman"/>
        <family val="1"/>
      </rPr>
      <t xml:space="preserve"> 3.1/4.0 mA/A  60Hz)</t>
    </r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</si>
  <si>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>:</t>
    </r>
    <phoneticPr fontId="4" type="noConversion"/>
  </si>
  <si>
    <r>
      <rPr>
        <sz val="18"/>
        <rFont val="標楷體"/>
        <family val="4"/>
        <charset val="136"/>
      </rPr>
      <t>電壓</t>
    </r>
    <r>
      <rPr>
        <sz val="18"/>
        <rFont val="Times New Roman"/>
        <family val="1"/>
      </rPr>
      <t>:110/220/300/600 V</t>
    </r>
    <phoneticPr fontId="4" type="noConversion"/>
  </si>
  <si>
    <r>
      <rPr>
        <sz val="18"/>
        <rFont val="標楷體"/>
        <family val="4"/>
        <charset val="136"/>
      </rPr>
      <t>電流</t>
    </r>
    <r>
      <rPr>
        <sz val="18"/>
        <rFont val="Times New Roman"/>
        <family val="1"/>
      </rPr>
      <t>:100mA/0.5/1A (</t>
    </r>
    <r>
      <rPr>
        <sz val="18"/>
        <rFont val="標楷體"/>
        <family val="4"/>
        <charset val="136"/>
      </rPr>
      <t>交流電流表</t>
    </r>
    <r>
      <rPr>
        <sz val="18"/>
        <rFont val="Times New Roman"/>
        <family val="1"/>
      </rPr>
      <t xml:space="preserve"> </t>
    </r>
    <r>
      <rPr>
        <sz val="18"/>
        <rFont val="標楷體"/>
        <family val="4"/>
        <charset val="136"/>
      </rPr>
      <t>最小不確定度</t>
    </r>
    <r>
      <rPr>
        <sz val="18"/>
        <rFont val="Times New Roman"/>
        <family val="1"/>
      </rPr>
      <t xml:space="preserve"> 4.0 mA/A)</t>
    </r>
    <phoneticPr fontId="4" type="noConversion"/>
  </si>
  <si>
    <r>
      <rPr>
        <sz val="18"/>
        <rFont val="標楷體"/>
        <family val="4"/>
        <charset val="136"/>
      </rPr>
      <t>電流</t>
    </r>
    <r>
      <rPr>
        <sz val="18"/>
        <rFont val="Times New Roman"/>
        <family val="1"/>
      </rPr>
      <t>:5A (</t>
    </r>
    <r>
      <rPr>
        <sz val="18"/>
        <rFont val="標楷體"/>
        <family val="4"/>
        <charset val="136"/>
      </rPr>
      <t>交流電流表</t>
    </r>
    <r>
      <rPr>
        <sz val="18"/>
        <rFont val="Times New Roman"/>
        <family val="1"/>
      </rPr>
      <t xml:space="preserve"> </t>
    </r>
    <r>
      <rPr>
        <sz val="18"/>
        <rFont val="標楷體"/>
        <family val="4"/>
        <charset val="136"/>
      </rPr>
      <t>最小不確定度</t>
    </r>
    <r>
      <rPr>
        <sz val="18"/>
        <rFont val="Times New Roman"/>
        <family val="1"/>
      </rPr>
      <t xml:space="preserve"> 3.1 mA/A)</t>
    </r>
    <phoneticPr fontId="4" type="noConversion"/>
  </si>
  <si>
    <r>
      <t>(</t>
    </r>
    <r>
      <rPr>
        <b/>
        <sz val="22"/>
        <rFont val="標楷體"/>
        <family val="4"/>
        <charset val="136"/>
      </rPr>
      <t>單、三相交流電功率表</t>
    </r>
    <r>
      <rPr>
        <b/>
        <sz val="22"/>
        <rFont val="Times New Roman"/>
        <family val="1"/>
      </rPr>
      <t xml:space="preserve"> </t>
    </r>
    <r>
      <rPr>
        <b/>
        <sz val="22"/>
        <rFont val="標楷體"/>
        <family val="4"/>
        <charset val="136"/>
      </rPr>
      <t>最小不確定度</t>
    </r>
    <r>
      <rPr>
        <b/>
        <sz val="22"/>
        <rFont val="Times New Roman"/>
        <family val="1"/>
      </rPr>
      <t xml:space="preserve"> 0.58%  60Hz)</t>
    </r>
    <phoneticPr fontId="4" type="noConversion"/>
  </si>
  <si>
    <r>
      <rPr>
        <sz val="18"/>
        <rFont val="標楷體"/>
        <family val="4"/>
        <charset val="136"/>
      </rPr>
      <t>電功率</t>
    </r>
    <r>
      <rPr>
        <sz val="18"/>
        <rFont val="Times New Roman"/>
        <family val="1"/>
      </rPr>
      <t>:110/220 V/ 5A ,60 Hz</t>
    </r>
    <phoneticPr fontId="4" type="noConversion"/>
  </si>
  <si>
    <r>
      <rPr>
        <sz val="18"/>
        <rFont val="標楷體"/>
        <family val="4"/>
        <charset val="136"/>
      </rPr>
      <t>功因</t>
    </r>
    <r>
      <rPr>
        <sz val="18"/>
        <rFont val="Times New Roman"/>
        <family val="1"/>
      </rPr>
      <t>:1.0,0.5 lead,0.5 lag</t>
    </r>
    <phoneticPr fontId="4" type="noConversion"/>
  </si>
  <si>
    <t>4.</t>
    <phoneticPr fontId="4" type="noConversion"/>
  </si>
  <si>
    <r>
      <rPr>
        <sz val="22"/>
        <rFont val="標楷體"/>
        <family val="4"/>
        <charset val="136"/>
      </rPr>
      <t>現場工資</t>
    </r>
    <phoneticPr fontId="4" type="noConversion"/>
  </si>
  <si>
    <t>工時3天</t>
    <phoneticPr fontId="4" type="noConversion"/>
  </si>
  <si>
    <t>B.</t>
    <phoneticPr fontId="4" type="noConversion"/>
  </si>
  <si>
    <r>
      <rPr>
        <b/>
        <sz val="22"/>
        <rFont val="標楷體"/>
        <family val="4"/>
        <charset val="136"/>
      </rPr>
      <t>廠內校正</t>
    </r>
    <phoneticPr fontId="4" type="noConversion"/>
  </si>
  <si>
    <r>
      <rPr>
        <sz val="22"/>
        <rFont val="標楷體"/>
        <family val="4"/>
        <charset val="136"/>
      </rPr>
      <t>比流器</t>
    </r>
    <r>
      <rPr>
        <sz val="22"/>
        <rFont val="Times New Roman"/>
        <family val="1"/>
      </rPr>
      <t>(</t>
    </r>
    <r>
      <rPr>
        <sz val="22"/>
        <rFont val="標楷體"/>
        <family val="4"/>
        <charset val="136"/>
      </rPr>
      <t>變流比誤差最小不確定度</t>
    </r>
    <r>
      <rPr>
        <sz val="22"/>
        <rFont val="Times New Roman"/>
        <family val="1"/>
      </rPr>
      <t xml:space="preserve"> 0.37%)</t>
    </r>
    <phoneticPr fontId="4" type="noConversion"/>
  </si>
  <si>
    <t>F-20016</t>
    <phoneticPr fontId="4" type="noConversion"/>
  </si>
  <si>
    <r>
      <rPr>
        <sz val="18"/>
        <rFont val="標楷體"/>
        <family val="4"/>
        <charset val="136"/>
      </rPr>
      <t>校正點</t>
    </r>
    <r>
      <rPr>
        <sz val="18"/>
        <rFont val="Times New Roman"/>
        <family val="1"/>
      </rPr>
      <t xml:space="preserve"> 10/5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15/5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30/5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50/5</t>
    </r>
    <r>
      <rPr>
        <sz val="18"/>
        <rFont val="標楷體"/>
        <family val="4"/>
        <charset val="136"/>
      </rPr>
      <t>、</t>
    </r>
    <r>
      <rPr>
        <sz val="18"/>
        <rFont val="Times New Roman"/>
        <family val="1"/>
      </rPr>
      <t>100/5 A</t>
    </r>
    <phoneticPr fontId="4" type="noConversion"/>
  </si>
  <si>
    <t>C.</t>
    <phoneticPr fontId="4" type="noConversion"/>
  </si>
  <si>
    <r>
      <t>5%</t>
    </r>
    <r>
      <rPr>
        <b/>
        <sz val="22"/>
        <rFont val="標楷體"/>
        <family val="4"/>
        <charset val="136"/>
      </rPr>
      <t>營業稅</t>
    </r>
    <phoneticPr fontId="4" type="noConversion"/>
  </si>
  <si>
    <r>
      <rPr>
        <sz val="18"/>
        <rFont val="細明體"/>
        <family val="3"/>
        <charset val="136"/>
      </rPr>
      <t>※</t>
    </r>
    <phoneticPr fontId="35" type="noConversion"/>
  </si>
  <si>
    <r>
      <rPr>
        <sz val="20"/>
        <rFont val="標楷體"/>
        <family val="4"/>
        <charset val="136"/>
      </rPr>
      <t>此校驗報告具</t>
    </r>
    <r>
      <rPr>
        <b/>
        <sz val="20"/>
        <rFont val="Times New Roman"/>
        <family val="1"/>
      </rPr>
      <t>TAF LOGO</t>
    </r>
    <phoneticPr fontId="4" type="noConversion"/>
  </si>
  <si>
    <r>
      <rPr>
        <sz val="18"/>
        <rFont val="細明體"/>
        <family val="3"/>
        <charset val="136"/>
      </rPr>
      <t>※</t>
    </r>
    <phoneticPr fontId="35" type="noConversion"/>
  </si>
  <si>
    <r>
      <rPr>
        <sz val="20"/>
        <rFont val="標楷體"/>
        <family val="4"/>
        <charset val="136"/>
      </rPr>
      <t>本報價為校驗費用</t>
    </r>
    <r>
      <rPr>
        <sz val="20"/>
        <rFont val="Times New Roman"/>
        <family val="1"/>
      </rPr>
      <t>,</t>
    </r>
    <r>
      <rPr>
        <sz val="20"/>
        <rFont val="標楷體"/>
        <family val="4"/>
        <charset val="136"/>
      </rPr>
      <t>於校驗時若發現有部品故障需維修或更新</t>
    </r>
    <r>
      <rPr>
        <sz val="20"/>
        <rFont val="Times New Roman"/>
        <family val="1"/>
      </rPr>
      <t>,</t>
    </r>
    <r>
      <rPr>
        <sz val="20"/>
        <rFont val="標楷體"/>
        <family val="4"/>
        <charset val="136"/>
      </rPr>
      <t>另行報價處理。</t>
    </r>
    <phoneticPr fontId="4" type="noConversion"/>
  </si>
  <si>
    <r>
      <rPr>
        <sz val="20"/>
        <rFont val="標楷體"/>
        <family val="4"/>
        <charset val="136"/>
      </rPr>
      <t>本報價若蒙確認</t>
    </r>
    <r>
      <rPr>
        <sz val="20"/>
        <rFont val="Times New Roman"/>
        <family val="1"/>
      </rPr>
      <t>,</t>
    </r>
    <r>
      <rPr>
        <sz val="20"/>
        <rFont val="標楷體"/>
        <family val="4"/>
        <charset val="136"/>
      </rPr>
      <t>請於簽名後傳真回本公司，以作為訂購單之用</t>
    </r>
    <r>
      <rPr>
        <sz val="20"/>
        <rFont val="Times New Roman"/>
        <family val="1"/>
      </rPr>
      <t>;</t>
    </r>
    <r>
      <rPr>
        <sz val="20"/>
        <rFont val="標楷體"/>
        <family val="4"/>
        <charset val="136"/>
      </rPr>
      <t>謝謝</t>
    </r>
    <r>
      <rPr>
        <sz val="20"/>
        <rFont val="Times New Roman"/>
        <family val="1"/>
      </rPr>
      <t>!</t>
    </r>
    <phoneticPr fontId="4" type="noConversion"/>
  </si>
  <si>
    <t>最優惠價</t>
    <phoneticPr fontId="4" type="noConversion"/>
  </si>
  <si>
    <r>
      <t>85</t>
    </r>
    <r>
      <rPr>
        <sz val="18"/>
        <rFont val="細明體"/>
        <family val="3"/>
        <charset val="136"/>
      </rPr>
      <t>折</t>
    </r>
    <phoneticPr fontId="4" type="noConversion"/>
  </si>
  <si>
    <r>
      <rPr>
        <sz val="18"/>
        <rFont val="細明體"/>
        <family val="3"/>
        <charset val="136"/>
      </rPr>
      <t>※</t>
    </r>
    <phoneticPr fontId="35" type="noConversion"/>
  </si>
  <si>
    <t>本室不做允收符合性之判定。</t>
    <phoneticPr fontId="4" type="noConversion"/>
  </si>
  <si>
    <t>保密聲明：實驗室人員對執行實驗室活動，所獲得的資訊會按照政府相關法規保密並予以妥善保管。</t>
    <phoneticPr fontId="4" type="noConversion"/>
  </si>
  <si>
    <r>
      <rPr>
        <sz val="24"/>
        <rFont val="標楷體"/>
        <family val="4"/>
        <charset val="136"/>
      </rPr>
      <t>確認簽名</t>
    </r>
    <r>
      <rPr>
        <sz val="24"/>
        <rFont val="Times New Roman"/>
        <family val="1"/>
      </rPr>
      <t>:</t>
    </r>
    <phoneticPr fontId="4" type="noConversion"/>
  </si>
  <si>
    <t>(以上報價含稅)</t>
    <phoneticPr fontId="4" type="noConversion"/>
  </si>
  <si>
    <r>
      <rPr>
        <sz val="24"/>
        <rFont val="標楷體"/>
        <family val="4"/>
        <charset val="136"/>
      </rPr>
      <t>回簽日期</t>
    </r>
    <r>
      <rPr>
        <sz val="24"/>
        <rFont val="Times New Roman"/>
        <family val="1"/>
      </rPr>
      <t>:</t>
    </r>
    <phoneticPr fontId="4" type="noConversion"/>
  </si>
  <si>
    <r>
      <rPr>
        <sz val="22"/>
        <rFont val="標楷體"/>
        <family val="4"/>
        <charset val="136"/>
      </rPr>
      <t>付款方式</t>
    </r>
    <r>
      <rPr>
        <sz val="22"/>
        <rFont val="Times New Roman"/>
        <family val="1"/>
      </rPr>
      <t>:</t>
    </r>
    <r>
      <rPr>
        <sz val="22"/>
        <rFont val="標楷體"/>
        <family val="4"/>
        <charset val="136"/>
      </rPr>
      <t>校驗後一次付清</t>
    </r>
    <r>
      <rPr>
        <sz val="22"/>
        <rFont val="Times New Roman"/>
        <family val="1"/>
      </rPr>
      <t>(</t>
    </r>
    <r>
      <rPr>
        <sz val="22"/>
        <rFont val="標楷體"/>
        <family val="4"/>
        <charset val="136"/>
      </rPr>
      <t>票期</t>
    </r>
    <r>
      <rPr>
        <sz val="22"/>
        <rFont val="Times New Roman"/>
        <family val="1"/>
      </rPr>
      <t>30</t>
    </r>
    <r>
      <rPr>
        <sz val="22"/>
        <rFont val="標楷體"/>
        <family val="4"/>
        <charset val="136"/>
      </rPr>
      <t>天</t>
    </r>
    <r>
      <rPr>
        <sz val="22"/>
        <rFont val="Times New Roman"/>
        <family val="1"/>
      </rPr>
      <t>)</t>
    </r>
    <phoneticPr fontId="4" type="noConversion"/>
  </si>
  <si>
    <r>
      <rPr>
        <sz val="22"/>
        <rFont val="標楷體"/>
        <family val="4"/>
        <charset val="136"/>
      </rPr>
      <t>公</t>
    </r>
    <r>
      <rPr>
        <sz val="22"/>
        <rFont val="Times New Roman"/>
        <family val="1"/>
      </rPr>
      <t xml:space="preserve">      </t>
    </r>
    <r>
      <rPr>
        <sz val="22"/>
        <rFont val="標楷體"/>
        <family val="4"/>
        <charset val="136"/>
      </rPr>
      <t>司</t>
    </r>
    <r>
      <rPr>
        <sz val="22"/>
        <rFont val="Times New Roman"/>
        <family val="1"/>
      </rPr>
      <t xml:space="preserve">      </t>
    </r>
    <r>
      <rPr>
        <sz val="22"/>
        <rFont val="標楷體"/>
        <family val="4"/>
        <charset val="136"/>
      </rPr>
      <t>章</t>
    </r>
  </si>
  <si>
    <t>品保部</t>
    <phoneticPr fontId="4" type="noConversion"/>
  </si>
  <si>
    <r>
      <rPr>
        <sz val="22"/>
        <rFont val="標楷體"/>
        <family val="4"/>
        <charset val="136"/>
      </rPr>
      <t>預定校驗日期：預計</t>
    </r>
    <r>
      <rPr>
        <sz val="22"/>
        <rFont val="Times New Roman"/>
        <family val="1"/>
      </rPr>
      <t>2026.01.05~2026.01.06</t>
    </r>
    <phoneticPr fontId="35" type="noConversion"/>
  </si>
  <si>
    <r>
      <rPr>
        <sz val="22"/>
        <rFont val="標楷體"/>
        <family val="4"/>
        <charset val="136"/>
      </rPr>
      <t>交貨地點</t>
    </r>
    <r>
      <rPr>
        <sz val="22"/>
        <rFont val="Times New Roman"/>
        <family val="1"/>
      </rPr>
      <t xml:space="preserve">:  </t>
    </r>
    <r>
      <rPr>
        <sz val="22"/>
        <rFont val="標楷體"/>
        <family val="4"/>
        <charset val="136"/>
      </rPr>
      <t>貴公司</t>
    </r>
  </si>
  <si>
    <r>
      <rPr>
        <sz val="22"/>
        <rFont val="標楷體"/>
        <family val="4"/>
        <charset val="136"/>
      </rPr>
      <t>承辦人</t>
    </r>
    <phoneticPr fontId="4" type="noConversion"/>
  </si>
  <si>
    <r>
      <rPr>
        <sz val="22"/>
        <rFont val="標楷體"/>
        <family val="4"/>
        <charset val="136"/>
      </rPr>
      <t>本報價單自報價日起有效期限</t>
    </r>
    <r>
      <rPr>
        <sz val="22"/>
        <rFont val="Times New Roman"/>
        <family val="1"/>
      </rPr>
      <t>30</t>
    </r>
    <r>
      <rPr>
        <sz val="22"/>
        <rFont val="標楷體"/>
        <family val="4"/>
        <charset val="136"/>
      </rPr>
      <t>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</si>
</sst>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$&quot;* #,##0.00_-;\-&quot;$&quot;* #,##0.00_-;_-&quot;$&quot;* &quot;-&quot;??_-;_-@_-"/>
    <numFmt numFmtId="176" formatCode="&quot;$&quot;#,##0_);[Red]\(&quot;$&quot;#,##0\)"/>
    <numFmt numFmtId="177" formatCode="&quot;NT$&quot;#,##0_);[Red]\(&quot;NT$&quot;#,##0\)"/>
    <numFmt numFmtId="178" formatCode="#,##0.00_);[Red]\(#,##0.00\)"/>
    <numFmt numFmtId="179" formatCode="_(&quot;$&quot;* #,##0_);_(&quot;$&quot;* \(#,##0\);_(&quot;$&quot;* &quot;-&quot;??_);_(@_)"/>
  </numFmts>
  <fonts count="45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8"/>
      <name val="Times New Roman"/>
      <family val="1"/>
    </font>
    <font>
      <sz val="18"/>
      <name val="標楷體"/>
      <family val="4"/>
      <charset val="136"/>
    </font>
    <font>
      <sz val="9"/>
      <name val="新細明體"/>
      <family val="1"/>
      <charset val="136"/>
    </font>
    <font>
      <u/>
      <sz val="7.8"/>
      <color indexed="12"/>
      <name val="新細明體"/>
      <family val="1"/>
      <charset val="136"/>
    </font>
    <font>
      <u/>
      <sz val="18"/>
      <color indexed="12"/>
      <name val="新細明體"/>
      <family val="1"/>
      <charset val="136"/>
    </font>
    <font>
      <b/>
      <sz val="40"/>
      <name val="標楷體"/>
      <family val="4"/>
      <charset val="136"/>
    </font>
    <font>
      <b/>
      <sz val="40"/>
      <name val="Times New Roman"/>
      <family val="1"/>
    </font>
    <font>
      <sz val="28"/>
      <name val="Times New Roman"/>
      <family val="1"/>
    </font>
    <font>
      <sz val="16"/>
      <name val="標楷體"/>
      <family val="4"/>
      <charset val="136"/>
    </font>
    <font>
      <sz val="16"/>
      <name val="Times New Roman"/>
      <family val="1"/>
    </font>
    <font>
      <sz val="16"/>
      <name val="細明體"/>
      <family val="3"/>
      <charset val="136"/>
    </font>
    <font>
      <b/>
      <sz val="42"/>
      <name val="Times New Roman"/>
      <family val="1"/>
    </font>
    <font>
      <b/>
      <sz val="42"/>
      <name val="標楷體"/>
      <family val="4"/>
      <charset val="136"/>
    </font>
    <font>
      <sz val="20"/>
      <name val="新細明體"/>
      <family val="1"/>
      <charset val="136"/>
    </font>
    <font>
      <sz val="42"/>
      <name val="Times New Roman"/>
      <family val="1"/>
    </font>
    <font>
      <b/>
      <u/>
      <sz val="42"/>
      <name val="Times New Roman"/>
      <family val="1"/>
    </font>
    <font>
      <sz val="26"/>
      <name val="Times New Roman"/>
      <family val="1"/>
    </font>
    <font>
      <sz val="26"/>
      <name val="標楷體"/>
      <family val="4"/>
      <charset val="136"/>
    </font>
    <font>
      <sz val="20"/>
      <name val="Times New Roman"/>
      <family val="1"/>
    </font>
    <font>
      <sz val="20"/>
      <name val="標楷體"/>
      <family val="4"/>
      <charset val="136"/>
    </font>
    <font>
      <sz val="20"/>
      <name val="細明體"/>
      <family val="3"/>
      <charset val="136"/>
    </font>
    <font>
      <sz val="12"/>
      <name val="Times New Roman"/>
      <family val="1"/>
    </font>
    <font>
      <b/>
      <sz val="26"/>
      <name val="標楷體"/>
      <family val="4"/>
      <charset val="136"/>
    </font>
    <font>
      <b/>
      <strike/>
      <u/>
      <sz val="28"/>
      <name val="Times New Roman"/>
      <family val="1"/>
    </font>
    <font>
      <sz val="24"/>
      <name val="Times New Roman"/>
      <family val="1"/>
    </font>
    <font>
      <b/>
      <sz val="22"/>
      <name val="Times New Roman"/>
      <family val="1"/>
    </font>
    <font>
      <b/>
      <sz val="22"/>
      <name val="標楷體"/>
      <family val="4"/>
      <charset val="136"/>
    </font>
    <font>
      <b/>
      <sz val="26"/>
      <name val="Times New Roman"/>
      <family val="1"/>
    </font>
    <font>
      <b/>
      <sz val="20"/>
      <name val="Times New Roman"/>
      <family val="1"/>
    </font>
    <font>
      <b/>
      <u/>
      <sz val="26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  <font>
      <sz val="22"/>
      <name val="Times New Roman"/>
      <family val="1"/>
    </font>
    <font>
      <sz val="12"/>
      <name val="標楷體"/>
      <family val="4"/>
      <charset val="136"/>
    </font>
    <font>
      <sz val="22"/>
      <name val="標楷體"/>
      <family val="4"/>
      <charset val="136"/>
    </font>
    <font>
      <sz val="22"/>
      <name val="細明體"/>
      <family val="3"/>
      <charset val="136"/>
    </font>
    <font>
      <sz val="18"/>
      <name val="細明體"/>
      <family val="3"/>
      <charset val="136"/>
    </font>
    <font>
      <b/>
      <i/>
      <u/>
      <sz val="26"/>
      <color rgb="FF0000FF"/>
      <name val="Times New Roman"/>
      <family val="1"/>
    </font>
    <font>
      <b/>
      <sz val="20"/>
      <name val="標楷體"/>
      <family val="4"/>
      <charset val="136"/>
    </font>
    <font>
      <b/>
      <u/>
      <sz val="28"/>
      <name val="Times New Roman"/>
      <family val="1"/>
    </font>
    <font>
      <sz val="24"/>
      <name val="標楷體"/>
      <family val="4"/>
      <charset val="136"/>
    </font>
    <font>
      <sz val="14"/>
      <name val="Times New Roman"/>
      <family val="1"/>
    </font>
    <font>
      <b/>
      <sz val="16"/>
      <color indexed="8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39">
    <xf numFmtId="0" fontId="0" fillId="0" borderId="0" xfId="0"/>
    <xf numFmtId="0" fontId="2" fillId="0" borderId="0" xfId="0" applyFont="1" applyAlignment="1">
      <alignment horizontal="left" vertical="center"/>
    </xf>
    <xf numFmtId="0" fontId="6" fillId="0" borderId="0" xfId="2" applyFont="1" applyAlignment="1" applyProtection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indent="2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indent="2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Continuous" vertical="center"/>
    </xf>
    <xf numFmtId="0" fontId="16" fillId="0" borderId="0" xfId="0" applyFont="1" applyAlignment="1">
      <alignment horizontal="centerContinuous" vertical="center"/>
    </xf>
    <xf numFmtId="0" fontId="17" fillId="0" borderId="0" xfId="0" applyFont="1" applyBorder="1" applyAlignment="1">
      <alignment horizontal="centerContinuous" vertical="center"/>
    </xf>
    <xf numFmtId="0" fontId="17" fillId="0" borderId="0" xfId="0" applyFont="1" applyAlignment="1">
      <alignment horizontal="centerContinuous"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58" fontId="20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76" fontId="20" fillId="0" borderId="2" xfId="1" applyNumberFormat="1" applyFont="1" applyBorder="1" applyAlignment="1">
      <alignment horizontal="center" vertical="center"/>
    </xf>
    <xf numFmtId="177" fontId="25" fillId="0" borderId="4" xfId="1" quotePrefix="1" applyNumberFormat="1" applyFont="1" applyFill="1" applyBorder="1" applyAlignment="1">
      <alignment horizontal="right" vertical="center"/>
    </xf>
    <xf numFmtId="178" fontId="20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176" fontId="30" fillId="0" borderId="2" xfId="1" applyNumberFormat="1" applyFont="1" applyBorder="1" applyAlignment="1">
      <alignment horizontal="center" vertical="center"/>
    </xf>
    <xf numFmtId="177" fontId="31" fillId="0" borderId="4" xfId="1" quotePrefix="1" applyNumberFormat="1" applyFont="1" applyBorder="1" applyAlignment="1">
      <alignment horizontal="right" vertical="center"/>
    </xf>
    <xf numFmtId="178" fontId="30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2" xfId="0" quotePrefix="1" applyFont="1" applyBorder="1" applyAlignment="1">
      <alignment horizontal="center" vertical="center"/>
    </xf>
    <xf numFmtId="0" fontId="34" fillId="0" borderId="2" xfId="0" applyFont="1" applyBorder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176" fontId="34" fillId="0" borderId="2" xfId="1" applyNumberFormat="1" applyFont="1" applyBorder="1" applyAlignment="1">
      <alignment horizontal="right" vertical="center"/>
    </xf>
    <xf numFmtId="176" fontId="34" fillId="0" borderId="2" xfId="1" quotePrefix="1" applyNumberFormat="1" applyFont="1" applyBorder="1" applyAlignment="1">
      <alignment horizontal="right" vertical="center"/>
    </xf>
    <xf numFmtId="176" fontId="34" fillId="0" borderId="5" xfId="1" quotePrefix="1" applyNumberFormat="1" applyFont="1" applyBorder="1" applyAlignment="1">
      <alignment horizontal="right" vertical="center"/>
    </xf>
    <xf numFmtId="176" fontId="34" fillId="0" borderId="0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2"/>
    </xf>
    <xf numFmtId="176" fontId="34" fillId="0" borderId="5" xfId="1" applyNumberFormat="1" applyFont="1" applyBorder="1" applyAlignment="1">
      <alignment horizontal="right" vertical="center"/>
    </xf>
    <xf numFmtId="0" fontId="34" fillId="0" borderId="2" xfId="0" quotePrefix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indent="2"/>
    </xf>
    <xf numFmtId="0" fontId="34" fillId="0" borderId="2" xfId="0" applyFont="1" applyFill="1" applyBorder="1" applyAlignment="1">
      <alignment horizontal="left" vertical="center"/>
    </xf>
    <xf numFmtId="0" fontId="34" fillId="0" borderId="2" xfId="0" applyFont="1" applyFill="1" applyBorder="1" applyAlignment="1">
      <alignment horizontal="center" vertical="center"/>
    </xf>
    <xf numFmtId="176" fontId="34" fillId="0" borderId="2" xfId="1" applyNumberFormat="1" applyFont="1" applyFill="1" applyBorder="1" applyAlignment="1">
      <alignment horizontal="right" vertical="center"/>
    </xf>
    <xf numFmtId="176" fontId="34" fillId="0" borderId="2" xfId="1" quotePrefix="1" applyNumberFormat="1" applyFont="1" applyFill="1" applyBorder="1" applyAlignment="1">
      <alignment horizontal="right" vertical="center"/>
    </xf>
    <xf numFmtId="176" fontId="34" fillId="0" borderId="5" xfId="1" applyNumberFormat="1" applyFont="1" applyFill="1" applyBorder="1" applyAlignment="1">
      <alignment horizontal="right" vertical="center"/>
    </xf>
    <xf numFmtId="176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76" fontId="34" fillId="0" borderId="5" xfId="1" applyNumberFormat="1" applyFont="1" applyFill="1" applyBorder="1" applyAlignment="1">
      <alignment horizontal="left" vertical="center"/>
    </xf>
    <xf numFmtId="0" fontId="36" fillId="0" borderId="2" xfId="0" applyFont="1" applyFill="1" applyBorder="1" applyAlignment="1">
      <alignment horizontal="left" vertical="center"/>
    </xf>
    <xf numFmtId="0" fontId="20" fillId="0" borderId="2" xfId="0" quotePrefix="1" applyFont="1" applyFill="1" applyBorder="1" applyAlignment="1">
      <alignment horizontal="right" vertical="center"/>
    </xf>
    <xf numFmtId="176" fontId="37" fillId="0" borderId="5" xfId="1" applyNumberFormat="1" applyFont="1" applyBorder="1" applyAlignment="1">
      <alignment horizontal="left" vertical="center"/>
    </xf>
    <xf numFmtId="0" fontId="34" fillId="0" borderId="2" xfId="0" quotePrefix="1" applyFont="1" applyBorder="1" applyAlignment="1">
      <alignment horizontal="right" vertical="center"/>
    </xf>
    <xf numFmtId="0" fontId="27" fillId="0" borderId="2" xfId="0" applyFont="1" applyFill="1" applyBorder="1" applyAlignment="1">
      <alignment horizontal="left" vertical="center"/>
    </xf>
    <xf numFmtId="0" fontId="27" fillId="0" borderId="2" xfId="0" applyFont="1" applyFill="1" applyBorder="1" applyAlignment="1">
      <alignment horizontal="left" vertical="center" wrapText="1"/>
    </xf>
    <xf numFmtId="176" fontId="37" fillId="0" borderId="5" xfId="1" applyNumberFormat="1" applyFont="1" applyFill="1" applyBorder="1" applyAlignment="1">
      <alignment horizontal="right" vertical="center"/>
    </xf>
    <xf numFmtId="176" fontId="34" fillId="0" borderId="4" xfId="1" quotePrefix="1" applyNumberFormat="1" applyFont="1" applyFill="1" applyBorder="1" applyAlignment="1">
      <alignment horizontal="right" vertical="center"/>
    </xf>
    <xf numFmtId="176" fontId="37" fillId="0" borderId="0" xfId="1" applyNumberFormat="1" applyFont="1" applyFill="1" applyBorder="1" applyAlignment="1">
      <alignment horizontal="right" vertical="center"/>
    </xf>
    <xf numFmtId="0" fontId="27" fillId="0" borderId="2" xfId="0" applyFont="1" applyBorder="1" applyAlignment="1">
      <alignment horizontal="left" vertical="center"/>
    </xf>
    <xf numFmtId="176" fontId="34" fillId="0" borderId="5" xfId="1" quotePrefix="1" applyNumberFormat="1" applyFont="1" applyFill="1" applyBorder="1" applyAlignment="1">
      <alignment horizontal="right" vertical="center"/>
    </xf>
    <xf numFmtId="0" fontId="11" fillId="0" borderId="2" xfId="0" applyFont="1" applyFill="1" applyBorder="1" applyAlignment="1">
      <alignment horizontal="left" vertical="center" indent="2"/>
    </xf>
    <xf numFmtId="0" fontId="27" fillId="0" borderId="2" xfId="0" quotePrefix="1" applyFont="1" applyBorder="1" applyAlignment="1">
      <alignment horizontal="center" vertical="center"/>
    </xf>
    <xf numFmtId="176" fontId="20" fillId="0" borderId="5" xfId="1" applyNumberFormat="1" applyFont="1" applyBorder="1" applyAlignment="1">
      <alignment horizontal="right" vertical="center"/>
    </xf>
    <xf numFmtId="176" fontId="20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176" fontId="20" fillId="0" borderId="2" xfId="1" applyNumberFormat="1" applyFont="1" applyBorder="1" applyAlignment="1">
      <alignment horizontal="right" vertical="center"/>
    </xf>
    <xf numFmtId="178" fontId="20" fillId="0" borderId="5" xfId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76" fontId="20" fillId="0" borderId="2" xfId="1" applyNumberFormat="1" applyFont="1" applyFill="1" applyBorder="1" applyAlignment="1">
      <alignment horizontal="right" vertical="center"/>
    </xf>
    <xf numFmtId="177" fontId="39" fillId="0" borderId="2" xfId="1" quotePrefix="1" applyNumberFormat="1" applyFont="1" applyFill="1" applyBorder="1" applyAlignment="1">
      <alignment horizontal="center" vertical="center"/>
    </xf>
    <xf numFmtId="176" fontId="18" fillId="0" borderId="5" xfId="1" applyNumberFormat="1" applyFont="1" applyFill="1" applyBorder="1" applyAlignment="1">
      <alignment horizontal="left" vertical="center"/>
    </xf>
    <xf numFmtId="176" fontId="26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176" fontId="2" fillId="0" borderId="2" xfId="1" applyNumberFormat="1" applyFont="1" applyBorder="1" applyAlignment="1">
      <alignment horizontal="right" vertical="center"/>
    </xf>
    <xf numFmtId="179" fontId="3" fillId="0" borderId="4" xfId="1" applyNumberFormat="1" applyFont="1" applyBorder="1" applyAlignment="1">
      <alignment horizontal="center" vertical="center"/>
    </xf>
    <xf numFmtId="176" fontId="2" fillId="0" borderId="5" xfId="1" applyNumberFormat="1" applyFont="1" applyFill="1" applyBorder="1" applyAlignment="1">
      <alignment horizontal="right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4" fillId="0" borderId="2" xfId="1" quotePrefix="1" applyNumberFormat="1" applyFont="1" applyBorder="1" applyAlignment="1">
      <alignment horizontal="center" vertical="center"/>
    </xf>
    <xf numFmtId="0" fontId="40" fillId="0" borderId="2" xfId="0" applyFont="1" applyBorder="1" applyAlignment="1">
      <alignment horizontal="left" vertical="center" wrapText="1"/>
    </xf>
    <xf numFmtId="177" fontId="41" fillId="0" borderId="4" xfId="1" quotePrefix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40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179" fontId="2" fillId="0" borderId="2" xfId="1" applyNumberFormat="1" applyFont="1" applyBorder="1" applyAlignment="1">
      <alignment vertical="center"/>
    </xf>
    <xf numFmtId="179" fontId="2" fillId="0" borderId="4" xfId="1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7" fillId="0" borderId="6" xfId="0" quotePrefix="1" applyFont="1" applyBorder="1" applyAlignment="1">
      <alignment horizontal="left" vertical="center"/>
    </xf>
    <xf numFmtId="0" fontId="34" fillId="0" borderId="7" xfId="0" quotePrefix="1" applyFont="1" applyBorder="1" applyAlignment="1">
      <alignment horizontal="left" vertical="center"/>
    </xf>
    <xf numFmtId="0" fontId="34" fillId="0" borderId="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6" xfId="0" quotePrefix="1" applyFont="1" applyBorder="1" applyAlignment="1">
      <alignment horizontal="left" vertical="center"/>
    </xf>
    <xf numFmtId="0" fontId="34" fillId="0" borderId="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10" xfId="0" applyFont="1" applyFill="1" applyBorder="1" applyAlignment="1">
      <alignment horizontal="left" vertical="center"/>
    </xf>
    <xf numFmtId="0" fontId="34" fillId="0" borderId="9" xfId="0" applyFont="1" applyFill="1" applyBorder="1" applyAlignment="1">
      <alignment horizontal="left" vertical="center"/>
    </xf>
    <xf numFmtId="0" fontId="34" fillId="0" borderId="0" xfId="0" applyFont="1" applyBorder="1" applyAlignment="1">
      <alignment vertical="center"/>
    </xf>
    <xf numFmtId="0" fontId="34" fillId="0" borderId="4" xfId="0" applyFont="1" applyBorder="1" applyAlignment="1">
      <alignment vertical="center"/>
    </xf>
    <xf numFmtId="0" fontId="34" fillId="0" borderId="11" xfId="0" applyFont="1" applyFill="1" applyBorder="1" applyAlignment="1">
      <alignment horizontal="left" vertical="center"/>
    </xf>
    <xf numFmtId="0" fontId="34" fillId="0" borderId="12" xfId="0" applyFont="1" applyFill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4" xfId="0" applyFont="1" applyBorder="1" applyAlignment="1">
      <alignment horizontal="centerContinuous" vertical="center"/>
    </xf>
    <xf numFmtId="0" fontId="43" fillId="0" borderId="13" xfId="0" applyFont="1" applyBorder="1" applyAlignment="1">
      <alignment vertical="center"/>
    </xf>
    <xf numFmtId="0" fontId="34" fillId="0" borderId="12" xfId="0" applyFont="1" applyBorder="1" applyAlignment="1">
      <alignment vertical="center"/>
    </xf>
    <xf numFmtId="0" fontId="43" fillId="0" borderId="0" xfId="0" applyFont="1" applyAlignment="1">
      <alignment vertical="center"/>
    </xf>
  </cellXfs>
  <cellStyles count="3">
    <cellStyle name="一般" xfId="0" builtinId="0"/>
    <cellStyle name="貨幣" xfId="1" builtinId="4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</xdr:row>
          <xdr:rowOff>171450</xdr:rowOff>
        </xdr:from>
        <xdr:to>
          <xdr:col>1</xdr:col>
          <xdr:colOff>3390900</xdr:colOff>
          <xdr:row>2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zerowu1114@ms.tertec.org.tw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4"/>
  <sheetViews>
    <sheetView showGridLines="0" tabSelected="1" view="pageBreakPreview" zoomScale="50" zoomScaleNormal="50" zoomScaleSheetLayoutView="50" workbookViewId="0">
      <selection activeCell="B24" sqref="B24"/>
    </sheetView>
  </sheetViews>
  <sheetFormatPr defaultColWidth="9" defaultRowHeight="15.4" x14ac:dyDescent="0.45"/>
  <cols>
    <col min="1" max="1" width="11.59765625" style="28" customWidth="1"/>
    <col min="2" max="2" width="93.73046875" style="28" customWidth="1"/>
    <col min="3" max="5" width="20" style="28" customWidth="1"/>
    <col min="6" max="6" width="37" style="28" customWidth="1"/>
    <col min="7" max="7" width="28.59765625" style="28" customWidth="1"/>
    <col min="8" max="8" width="12.265625" style="28" customWidth="1"/>
    <col min="9" max="9" width="18.265625" style="28" bestFit="1" customWidth="1"/>
    <col min="10" max="16384" width="9" style="28"/>
  </cols>
  <sheetData>
    <row r="1" spans="1:8" s="1" customFormat="1" ht="25.15" x14ac:dyDescent="0.45">
      <c r="A1" s="1" t="s">
        <v>0</v>
      </c>
      <c r="F1" s="2" t="s">
        <v>1</v>
      </c>
    </row>
    <row r="2" spans="1:8" s="6" customFormat="1" ht="64.150000000000006" customHeight="1" x14ac:dyDescent="0.45">
      <c r="A2" s="3" t="s">
        <v>2</v>
      </c>
      <c r="B2" s="4"/>
      <c r="C2" s="4"/>
      <c r="D2" s="4"/>
      <c r="E2" s="4"/>
      <c r="F2" s="4"/>
      <c r="G2" s="5"/>
    </row>
    <row r="3" spans="1:8" s="8" customFormat="1" ht="36" x14ac:dyDescent="0.45">
      <c r="A3" s="7" t="s">
        <v>3</v>
      </c>
      <c r="B3" s="7"/>
      <c r="C3" s="7"/>
      <c r="D3" s="7"/>
      <c r="E3" s="7"/>
      <c r="F3" s="7"/>
    </row>
    <row r="4" spans="1:8" s="13" customFormat="1" ht="22.9" x14ac:dyDescent="0.45">
      <c r="A4" s="9"/>
      <c r="B4" s="10" t="s">
        <v>4</v>
      </c>
      <c r="C4" s="11" t="s">
        <v>5</v>
      </c>
      <c r="D4" s="9"/>
      <c r="E4" s="12"/>
      <c r="F4" s="12"/>
      <c r="G4" s="12"/>
    </row>
    <row r="5" spans="1:8" s="13" customFormat="1" ht="22.9" x14ac:dyDescent="0.45">
      <c r="A5" s="9" t="s">
        <v>6</v>
      </c>
      <c r="B5" s="10" t="s">
        <v>7</v>
      </c>
      <c r="C5" s="11" t="s">
        <v>8</v>
      </c>
      <c r="D5" s="9"/>
      <c r="E5" s="12"/>
      <c r="F5" s="12"/>
      <c r="G5" s="12"/>
    </row>
    <row r="6" spans="1:8" s="13" customFormat="1" ht="22.9" x14ac:dyDescent="0.45">
      <c r="A6" s="12" t="s">
        <v>9</v>
      </c>
      <c r="B6" s="14" t="s">
        <v>10</v>
      </c>
      <c r="C6" s="15" t="s">
        <v>11</v>
      </c>
      <c r="D6" s="12"/>
      <c r="E6" s="12"/>
      <c r="F6" s="12"/>
      <c r="G6" s="12"/>
    </row>
    <row r="7" spans="1:8" s="20" customFormat="1" ht="54.95" customHeight="1" x14ac:dyDescent="0.45">
      <c r="A7" s="16" t="s">
        <v>12</v>
      </c>
      <c r="B7" s="17"/>
      <c r="C7" s="18"/>
      <c r="D7" s="19"/>
      <c r="E7" s="16"/>
      <c r="F7" s="16"/>
    </row>
    <row r="8" spans="1:8" s="20" customFormat="1" ht="15.75" customHeight="1" x14ac:dyDescent="0.45">
      <c r="A8" s="16"/>
      <c r="B8" s="17"/>
      <c r="C8" s="18"/>
      <c r="D8" s="19"/>
      <c r="E8" s="16"/>
      <c r="F8" s="16"/>
    </row>
    <row r="9" spans="1:8" s="23" customFormat="1" ht="36.75" customHeight="1" x14ac:dyDescent="0.45">
      <c r="A9" s="21" t="s">
        <v>13</v>
      </c>
      <c r="B9" s="22" t="s">
        <v>14</v>
      </c>
      <c r="E9" s="24" t="s">
        <v>15</v>
      </c>
      <c r="F9" s="25" t="s">
        <v>16</v>
      </c>
    </row>
    <row r="10" spans="1:8" s="25" customFormat="1" ht="28.15" x14ac:dyDescent="0.45">
      <c r="A10" s="21"/>
      <c r="B10" s="22"/>
      <c r="E10" s="24" t="s">
        <v>17</v>
      </c>
      <c r="F10" s="26">
        <v>46002</v>
      </c>
      <c r="G10" s="27" t="s">
        <v>18</v>
      </c>
    </row>
    <row r="11" spans="1:8" ht="8.1" customHeight="1" x14ac:dyDescent="0.45"/>
    <row r="12" spans="1:8" s="32" customFormat="1" ht="39.950000000000003" customHeight="1" x14ac:dyDescent="0.45">
      <c r="A12" s="29" t="s">
        <v>19</v>
      </c>
      <c r="B12" s="29" t="s">
        <v>20</v>
      </c>
      <c r="C12" s="29" t="s">
        <v>21</v>
      </c>
      <c r="D12" s="30" t="s">
        <v>22</v>
      </c>
      <c r="E12" s="29" t="s">
        <v>23</v>
      </c>
      <c r="F12" s="31" t="s">
        <v>24</v>
      </c>
    </row>
    <row r="13" spans="1:8" s="40" customFormat="1" ht="42" customHeight="1" x14ac:dyDescent="0.45">
      <c r="A13" s="33"/>
      <c r="B13" s="34" t="s">
        <v>25</v>
      </c>
      <c r="C13" s="35" t="s">
        <v>26</v>
      </c>
      <c r="D13" s="35"/>
      <c r="E13" s="36"/>
      <c r="F13" s="37">
        <f>SUM(F15:F46)</f>
        <v>89775</v>
      </c>
      <c r="G13" s="38"/>
      <c r="H13" s="39"/>
    </row>
    <row r="14" spans="1:8" s="48" customFormat="1" ht="34.5" customHeight="1" x14ac:dyDescent="0.45">
      <c r="A14" s="41" t="s">
        <v>27</v>
      </c>
      <c r="B14" s="42" t="s">
        <v>28</v>
      </c>
      <c r="C14" s="41"/>
      <c r="D14" s="43"/>
      <c r="E14" s="44"/>
      <c r="F14" s="45"/>
      <c r="G14" s="46"/>
      <c r="H14" s="47"/>
    </row>
    <row r="15" spans="1:8" s="56" customFormat="1" ht="30" customHeight="1" x14ac:dyDescent="0.45">
      <c r="A15" s="49" t="s">
        <v>29</v>
      </c>
      <c r="B15" s="50" t="s">
        <v>30</v>
      </c>
      <c r="C15" s="51"/>
      <c r="D15" s="51">
        <v>90</v>
      </c>
      <c r="E15" s="52">
        <v>150</v>
      </c>
      <c r="F15" s="53">
        <f>E15*D15</f>
        <v>13500</v>
      </c>
      <c r="G15" s="54" t="s">
        <v>31</v>
      </c>
      <c r="H15" s="55"/>
    </row>
    <row r="16" spans="1:8" s="56" customFormat="1" ht="30" customHeight="1" x14ac:dyDescent="0.45">
      <c r="A16" s="49"/>
      <c r="B16" s="57" t="s">
        <v>32</v>
      </c>
      <c r="C16" s="50"/>
      <c r="D16" s="51"/>
      <c r="E16" s="52"/>
      <c r="F16" s="53"/>
      <c r="G16" s="58"/>
      <c r="H16" s="55"/>
    </row>
    <row r="17" spans="1:9" s="56" customFormat="1" ht="30" customHeight="1" x14ac:dyDescent="0.45">
      <c r="A17" s="49"/>
      <c r="B17" s="57" t="s">
        <v>33</v>
      </c>
      <c r="C17" s="50"/>
      <c r="D17" s="51"/>
      <c r="E17" s="52"/>
      <c r="F17" s="53"/>
      <c r="G17" s="58"/>
      <c r="H17" s="55"/>
    </row>
    <row r="18" spans="1:9" s="67" customFormat="1" ht="30" customHeight="1" x14ac:dyDescent="0.45">
      <c r="A18" s="59"/>
      <c r="B18" s="60" t="s">
        <v>34</v>
      </c>
      <c r="C18" s="61"/>
      <c r="D18" s="62"/>
      <c r="E18" s="63"/>
      <c r="F18" s="64"/>
      <c r="G18" s="65"/>
      <c r="H18" s="66"/>
    </row>
    <row r="19" spans="1:9" s="67" customFormat="1" ht="30" customHeight="1" x14ac:dyDescent="0.45">
      <c r="A19" s="59"/>
      <c r="B19" s="60" t="s">
        <v>35</v>
      </c>
      <c r="C19" s="61"/>
      <c r="D19" s="62"/>
      <c r="E19" s="63"/>
      <c r="F19" s="64"/>
      <c r="G19" s="65"/>
      <c r="H19" s="66"/>
    </row>
    <row r="20" spans="1:9" s="67" customFormat="1" ht="30" customHeight="1" x14ac:dyDescent="0.45">
      <c r="A20" s="59"/>
      <c r="B20" s="60" t="s">
        <v>36</v>
      </c>
      <c r="C20" s="61"/>
      <c r="D20" s="62"/>
      <c r="E20" s="63"/>
      <c r="F20" s="64"/>
      <c r="G20" s="65"/>
      <c r="H20" s="66"/>
    </row>
    <row r="21" spans="1:9" s="67" customFormat="1" ht="30" customHeight="1" x14ac:dyDescent="0.45">
      <c r="A21" s="59" t="s">
        <v>37</v>
      </c>
      <c r="B21" s="61" t="s">
        <v>38</v>
      </c>
      <c r="C21" s="62"/>
      <c r="D21" s="62"/>
      <c r="E21" s="63"/>
      <c r="F21" s="64"/>
      <c r="G21" s="65"/>
      <c r="H21" s="66"/>
    </row>
    <row r="22" spans="1:9" s="67" customFormat="1" ht="30" customHeight="1" x14ac:dyDescent="0.45">
      <c r="A22" s="59"/>
      <c r="B22" s="61" t="s">
        <v>39</v>
      </c>
      <c r="C22" s="62"/>
      <c r="D22" s="62">
        <v>2</v>
      </c>
      <c r="E22" s="63">
        <v>6000</v>
      </c>
      <c r="F22" s="64">
        <f t="shared" ref="F22" si="0">E22*D22</f>
        <v>12000</v>
      </c>
      <c r="G22" s="68" t="s">
        <v>40</v>
      </c>
      <c r="H22" s="66"/>
    </row>
    <row r="23" spans="1:9" s="67" customFormat="1" ht="30" customHeight="1" x14ac:dyDescent="0.45">
      <c r="A23" s="59"/>
      <c r="B23" s="60" t="s">
        <v>41</v>
      </c>
      <c r="C23" s="61"/>
      <c r="D23" s="62"/>
      <c r="E23" s="63"/>
      <c r="F23" s="64"/>
      <c r="G23" s="65"/>
      <c r="H23" s="66"/>
    </row>
    <row r="24" spans="1:9" s="67" customFormat="1" ht="30" customHeight="1" x14ac:dyDescent="0.45">
      <c r="A24" s="59"/>
      <c r="B24" s="60" t="s">
        <v>42</v>
      </c>
      <c r="C24" s="61"/>
      <c r="D24" s="62"/>
      <c r="E24" s="63"/>
      <c r="F24" s="64"/>
      <c r="G24" s="65"/>
      <c r="H24" s="66"/>
    </row>
    <row r="25" spans="1:9" s="67" customFormat="1" ht="30" customHeight="1" x14ac:dyDescent="0.45">
      <c r="A25" s="59"/>
      <c r="B25" s="60" t="s">
        <v>43</v>
      </c>
      <c r="C25" s="61"/>
      <c r="D25" s="62"/>
      <c r="E25" s="63"/>
      <c r="F25" s="64"/>
      <c r="G25" s="65"/>
      <c r="H25" s="66"/>
    </row>
    <row r="26" spans="1:9" s="67" customFormat="1" ht="30" customHeight="1" x14ac:dyDescent="0.45">
      <c r="A26" s="59"/>
      <c r="B26" s="60" t="s">
        <v>44</v>
      </c>
      <c r="C26" s="61"/>
      <c r="D26" s="62"/>
      <c r="E26" s="63"/>
      <c r="F26" s="64"/>
      <c r="G26" s="65"/>
      <c r="H26" s="66"/>
    </row>
    <row r="27" spans="1:9" s="56" customFormat="1" ht="30" customHeight="1" x14ac:dyDescent="0.45">
      <c r="A27" s="59" t="s">
        <v>45</v>
      </c>
      <c r="B27" s="69" t="s">
        <v>46</v>
      </c>
      <c r="C27" s="62"/>
      <c r="D27" s="62"/>
      <c r="E27" s="63"/>
      <c r="F27" s="64"/>
      <c r="G27" s="58"/>
      <c r="H27" s="55"/>
    </row>
    <row r="28" spans="1:9" s="56" customFormat="1" ht="30" customHeight="1" x14ac:dyDescent="0.45">
      <c r="A28" s="70">
        <v>3.1</v>
      </c>
      <c r="B28" s="61" t="s">
        <v>47</v>
      </c>
      <c r="C28" s="62"/>
      <c r="D28" s="62">
        <v>4</v>
      </c>
      <c r="E28" s="63">
        <v>4000</v>
      </c>
      <c r="F28" s="64">
        <f>E28*D28</f>
        <v>16000</v>
      </c>
      <c r="G28" s="58"/>
      <c r="H28" s="55"/>
    </row>
    <row r="29" spans="1:9" s="56" customFormat="1" ht="30" customHeight="1" x14ac:dyDescent="0.45">
      <c r="A29" s="70">
        <v>3.2</v>
      </c>
      <c r="B29" s="61" t="s">
        <v>48</v>
      </c>
      <c r="C29" s="62"/>
      <c r="D29" s="62">
        <v>2</v>
      </c>
      <c r="E29" s="63">
        <v>4000</v>
      </c>
      <c r="F29" s="64">
        <f>E29*D29</f>
        <v>8000</v>
      </c>
      <c r="G29" s="71" t="s">
        <v>49</v>
      </c>
      <c r="H29" s="55"/>
    </row>
    <row r="30" spans="1:9" s="56" customFormat="1" ht="30" customHeight="1" x14ac:dyDescent="0.45">
      <c r="A30" s="72"/>
      <c r="B30" s="73" t="s">
        <v>50</v>
      </c>
      <c r="C30" s="51"/>
      <c r="D30" s="51"/>
      <c r="E30" s="52"/>
      <c r="F30" s="53"/>
      <c r="G30" s="58"/>
      <c r="H30" s="55"/>
    </row>
    <row r="31" spans="1:9" s="56" customFormat="1" ht="30" customHeight="1" x14ac:dyDescent="0.45">
      <c r="A31" s="72"/>
      <c r="B31" s="73" t="s">
        <v>51</v>
      </c>
      <c r="C31" s="51"/>
      <c r="D31" s="51"/>
      <c r="E31" s="52"/>
      <c r="F31" s="53"/>
      <c r="G31" s="58"/>
      <c r="H31" s="55"/>
      <c r="I31" s="55"/>
    </row>
    <row r="32" spans="1:9" s="56" customFormat="1" ht="30" customHeight="1" x14ac:dyDescent="0.45">
      <c r="A32" s="72"/>
      <c r="B32" s="57" t="s">
        <v>52</v>
      </c>
      <c r="C32" s="51"/>
      <c r="D32" s="51"/>
      <c r="E32" s="52"/>
      <c r="F32" s="53"/>
      <c r="G32" s="58"/>
      <c r="H32" s="55"/>
    </row>
    <row r="33" spans="1:9" s="56" customFormat="1" ht="30" customHeight="1" x14ac:dyDescent="0.45">
      <c r="A33" s="72"/>
      <c r="B33" s="57" t="s">
        <v>53</v>
      </c>
      <c r="C33" s="51"/>
      <c r="D33" s="51"/>
      <c r="E33" s="52"/>
      <c r="F33" s="53"/>
      <c r="G33" s="58"/>
      <c r="H33" s="55"/>
    </row>
    <row r="34" spans="1:9" s="56" customFormat="1" ht="30" customHeight="1" x14ac:dyDescent="0.45">
      <c r="A34" s="72"/>
      <c r="B34" s="57" t="s">
        <v>54</v>
      </c>
      <c r="C34" s="51"/>
      <c r="D34" s="51"/>
      <c r="E34" s="52"/>
      <c r="F34" s="53"/>
      <c r="G34" s="58"/>
      <c r="H34" s="55"/>
    </row>
    <row r="35" spans="1:9" s="56" customFormat="1" ht="30" customHeight="1" x14ac:dyDescent="0.45">
      <c r="A35" s="72"/>
      <c r="B35" s="57" t="s">
        <v>55</v>
      </c>
      <c r="C35" s="51"/>
      <c r="D35" s="51"/>
      <c r="E35" s="52"/>
      <c r="F35" s="53"/>
      <c r="G35" s="58"/>
      <c r="H35" s="55"/>
    </row>
    <row r="36" spans="1:9" s="56" customFormat="1" ht="57" customHeight="1" x14ac:dyDescent="0.45">
      <c r="A36" s="49"/>
      <c r="B36" s="74" t="s">
        <v>56</v>
      </c>
      <c r="C36" s="51"/>
      <c r="D36" s="51"/>
      <c r="E36" s="52"/>
      <c r="F36" s="53"/>
      <c r="G36" s="58"/>
      <c r="H36" s="55"/>
      <c r="I36" s="55"/>
    </row>
    <row r="37" spans="1:9" s="56" customFormat="1" ht="30" customHeight="1" x14ac:dyDescent="0.45">
      <c r="A37" s="49"/>
      <c r="B37" s="57" t="s">
        <v>57</v>
      </c>
      <c r="C37" s="51"/>
      <c r="D37" s="51"/>
      <c r="E37" s="52"/>
      <c r="F37" s="53"/>
      <c r="G37" s="58"/>
      <c r="H37" s="55"/>
    </row>
    <row r="38" spans="1:9" s="56" customFormat="1" ht="30" customHeight="1" x14ac:dyDescent="0.45">
      <c r="A38" s="49"/>
      <c r="B38" s="57" t="s">
        <v>58</v>
      </c>
      <c r="C38" s="51"/>
      <c r="D38" s="51"/>
      <c r="E38" s="52"/>
      <c r="F38" s="53"/>
      <c r="G38" s="58"/>
      <c r="H38" s="55"/>
    </row>
    <row r="39" spans="1:9" s="67" customFormat="1" ht="30" customHeight="1" x14ac:dyDescent="0.45">
      <c r="A39" s="59" t="s">
        <v>59</v>
      </c>
      <c r="B39" s="61" t="s">
        <v>60</v>
      </c>
      <c r="C39" s="62"/>
      <c r="D39" s="62">
        <v>3</v>
      </c>
      <c r="E39" s="63">
        <v>6000</v>
      </c>
      <c r="F39" s="64">
        <f>E39*D39</f>
        <v>18000</v>
      </c>
      <c r="G39" s="75" t="s">
        <v>61</v>
      </c>
      <c r="H39" s="66"/>
    </row>
    <row r="40" spans="1:9" s="67" customFormat="1" ht="30" customHeight="1" x14ac:dyDescent="0.45">
      <c r="A40" s="59"/>
      <c r="B40" s="61"/>
      <c r="C40" s="62"/>
      <c r="D40" s="62"/>
      <c r="E40" s="63"/>
      <c r="F40" s="76"/>
      <c r="G40" s="77"/>
      <c r="H40" s="66"/>
    </row>
    <row r="41" spans="1:9" s="40" customFormat="1" ht="34.5" customHeight="1" x14ac:dyDescent="0.45">
      <c r="A41" s="41" t="s">
        <v>62</v>
      </c>
      <c r="B41" s="78" t="s">
        <v>63</v>
      </c>
      <c r="C41" s="51"/>
      <c r="D41" s="35"/>
      <c r="E41" s="36"/>
      <c r="F41" s="45"/>
      <c r="G41" s="38"/>
      <c r="H41" s="39"/>
    </row>
    <row r="42" spans="1:9" s="67" customFormat="1" ht="30" customHeight="1" x14ac:dyDescent="0.45">
      <c r="A42" s="59" t="s">
        <v>29</v>
      </c>
      <c r="B42" s="61" t="s">
        <v>64</v>
      </c>
      <c r="C42" s="62"/>
      <c r="D42" s="62">
        <v>4</v>
      </c>
      <c r="E42" s="63">
        <v>4500</v>
      </c>
      <c r="F42" s="64">
        <f>E42*D42</f>
        <v>18000</v>
      </c>
      <c r="G42" s="79" t="s">
        <v>65</v>
      </c>
      <c r="H42" s="66"/>
    </row>
    <row r="43" spans="1:9" s="67" customFormat="1" ht="30" customHeight="1" x14ac:dyDescent="0.45">
      <c r="A43" s="59"/>
      <c r="B43" s="60" t="s">
        <v>66</v>
      </c>
      <c r="C43" s="61"/>
      <c r="D43" s="62"/>
      <c r="E43" s="63"/>
      <c r="F43" s="64"/>
      <c r="G43" s="65"/>
      <c r="H43" s="66"/>
    </row>
    <row r="44" spans="1:9" s="67" customFormat="1" ht="30" customHeight="1" x14ac:dyDescent="0.45">
      <c r="A44" s="59"/>
      <c r="B44" s="61"/>
      <c r="C44" s="62"/>
      <c r="D44" s="62"/>
      <c r="E44" s="63"/>
      <c r="F44" s="64"/>
      <c r="G44" s="65"/>
      <c r="H44" s="66"/>
    </row>
    <row r="45" spans="1:9" s="56" customFormat="1" ht="30" customHeight="1" x14ac:dyDescent="0.45">
      <c r="A45" s="59"/>
      <c r="B45" s="80"/>
      <c r="C45" s="62"/>
      <c r="D45" s="62"/>
      <c r="E45" s="63"/>
      <c r="F45" s="64"/>
      <c r="G45" s="58"/>
      <c r="H45" s="55"/>
    </row>
    <row r="46" spans="1:9" s="84" customFormat="1" ht="30" customHeight="1" x14ac:dyDescent="0.45">
      <c r="A46" s="81" t="s">
        <v>67</v>
      </c>
      <c r="B46" s="78" t="s">
        <v>68</v>
      </c>
      <c r="C46" s="33"/>
      <c r="D46" s="51">
        <v>1</v>
      </c>
      <c r="E46" s="52">
        <f>SUM(F15:F45)*0.05</f>
        <v>4275</v>
      </c>
      <c r="F46" s="53">
        <f>E46*D46</f>
        <v>4275</v>
      </c>
      <c r="G46" s="82"/>
      <c r="H46" s="83"/>
    </row>
    <row r="47" spans="1:9" s="84" customFormat="1" ht="25.5" customHeight="1" x14ac:dyDescent="0.45">
      <c r="A47" s="85"/>
      <c r="B47" s="86"/>
      <c r="C47" s="33"/>
      <c r="D47" s="33"/>
      <c r="E47" s="87"/>
      <c r="F47" s="36"/>
      <c r="G47" s="88"/>
      <c r="H47" s="83"/>
    </row>
    <row r="48" spans="1:9" s="97" customFormat="1" ht="33.4" x14ac:dyDescent="0.45">
      <c r="A48" s="89" t="s">
        <v>69</v>
      </c>
      <c r="B48" s="90" t="s">
        <v>70</v>
      </c>
      <c r="C48" s="91"/>
      <c r="D48" s="92"/>
      <c r="E48" s="93"/>
      <c r="F48" s="94"/>
      <c r="G48" s="95"/>
      <c r="H48" s="96"/>
    </row>
    <row r="49" spans="1:8" s="104" customFormat="1" ht="56.25" x14ac:dyDescent="0.45">
      <c r="A49" s="98" t="s">
        <v>71</v>
      </c>
      <c r="B49" s="99" t="s">
        <v>72</v>
      </c>
      <c r="C49" s="98"/>
      <c r="D49" s="98"/>
      <c r="E49" s="100"/>
      <c r="F49" s="101"/>
      <c r="G49" s="102"/>
      <c r="H49" s="103"/>
    </row>
    <row r="50" spans="1:8" s="104" customFormat="1" ht="56.25" x14ac:dyDescent="0.45">
      <c r="A50" s="98" t="s">
        <v>71</v>
      </c>
      <c r="B50" s="99" t="s">
        <v>73</v>
      </c>
      <c r="C50" s="98"/>
      <c r="D50" s="98"/>
      <c r="E50" s="100"/>
      <c r="F50" s="105" t="s">
        <v>74</v>
      </c>
      <c r="G50" s="88">
        <f>F13*0.85</f>
        <v>76308.75</v>
      </c>
      <c r="H50" s="103" t="s">
        <v>75</v>
      </c>
    </row>
    <row r="51" spans="1:8" s="84" customFormat="1" ht="37.5" customHeight="1" x14ac:dyDescent="0.45">
      <c r="A51" s="98" t="s">
        <v>76</v>
      </c>
      <c r="B51" s="106" t="s">
        <v>77</v>
      </c>
      <c r="C51" s="33"/>
      <c r="D51" s="51"/>
      <c r="E51" s="52"/>
      <c r="F51" s="107">
        <v>76000</v>
      </c>
      <c r="G51" s="82"/>
      <c r="H51" s="83"/>
    </row>
    <row r="52" spans="1:8" s="84" customFormat="1" ht="64.5" customHeight="1" x14ac:dyDescent="0.45">
      <c r="A52" s="108" t="s">
        <v>69</v>
      </c>
      <c r="B52" s="109" t="s">
        <v>78</v>
      </c>
      <c r="C52" s="33"/>
      <c r="D52" s="51"/>
      <c r="E52" s="52"/>
      <c r="F52" s="107"/>
      <c r="G52" s="82"/>
      <c r="H52" s="83"/>
    </row>
    <row r="53" spans="1:8" s="111" customFormat="1" ht="33.75" x14ac:dyDescent="0.45">
      <c r="A53" s="33"/>
      <c r="B53" s="110" t="s">
        <v>79</v>
      </c>
      <c r="C53" s="33"/>
      <c r="D53" s="98"/>
      <c r="E53" s="100"/>
      <c r="F53" s="101" t="s">
        <v>80</v>
      </c>
    </row>
    <row r="54" spans="1:8" s="114" customFormat="1" ht="33.75" x14ac:dyDescent="0.45">
      <c r="A54" s="33"/>
      <c r="B54" s="110" t="s">
        <v>81</v>
      </c>
      <c r="C54" s="85"/>
      <c r="D54" s="98"/>
      <c r="E54" s="112"/>
      <c r="F54" s="113"/>
    </row>
    <row r="55" spans="1:8" s="114" customFormat="1" ht="27" customHeight="1" x14ac:dyDescent="0.45">
      <c r="A55" s="33"/>
      <c r="B55" s="115"/>
      <c r="C55" s="85"/>
      <c r="D55" s="98"/>
      <c r="E55" s="112"/>
      <c r="F55" s="113"/>
    </row>
    <row r="56" spans="1:8" s="114" customFormat="1" ht="27" customHeight="1" x14ac:dyDescent="0.45">
      <c r="A56" s="33"/>
      <c r="B56" s="110"/>
      <c r="C56" s="85"/>
      <c r="D56" s="98"/>
      <c r="E56" s="112"/>
      <c r="F56" s="113"/>
    </row>
    <row r="57" spans="1:8" s="121" customFormat="1" ht="29.25" customHeight="1" x14ac:dyDescent="0.45">
      <c r="A57" s="116" t="s">
        <v>82</v>
      </c>
      <c r="B57" s="117"/>
      <c r="C57" s="118" t="s">
        <v>83</v>
      </c>
      <c r="D57" s="118"/>
      <c r="E57" s="119"/>
      <c r="F57" s="120" t="s">
        <v>84</v>
      </c>
    </row>
    <row r="58" spans="1:8" s="121" customFormat="1" ht="29.25" customHeight="1" x14ac:dyDescent="0.45">
      <c r="A58" s="122"/>
      <c r="B58" s="117"/>
      <c r="C58" s="123"/>
      <c r="D58" s="123"/>
      <c r="E58" s="124"/>
      <c r="F58" s="125"/>
    </row>
    <row r="59" spans="1:8" s="121" customFormat="1" ht="29.25" customHeight="1" x14ac:dyDescent="0.45">
      <c r="A59" s="126" t="s">
        <v>85</v>
      </c>
      <c r="B59" s="127"/>
      <c r="C59" s="128"/>
      <c r="D59" s="128"/>
      <c r="E59" s="129"/>
      <c r="F59" s="125"/>
    </row>
    <row r="60" spans="1:8" s="121" customFormat="1" ht="29.25" customHeight="1" x14ac:dyDescent="0.45">
      <c r="A60" s="130"/>
      <c r="B60" s="131"/>
      <c r="C60" s="128"/>
      <c r="D60" s="128"/>
      <c r="E60" s="129"/>
      <c r="F60" s="125"/>
    </row>
    <row r="61" spans="1:8" s="121" customFormat="1" ht="29.25" customHeight="1" x14ac:dyDescent="0.45">
      <c r="A61" s="132" t="s">
        <v>86</v>
      </c>
      <c r="B61" s="133"/>
      <c r="C61" s="128"/>
      <c r="D61" s="128"/>
      <c r="E61" s="129"/>
      <c r="F61" s="134" t="s">
        <v>87</v>
      </c>
    </row>
    <row r="62" spans="1:8" s="121" customFormat="1" ht="29.25" customHeight="1" x14ac:dyDescent="0.45">
      <c r="A62" s="132"/>
      <c r="B62" s="133"/>
      <c r="C62" s="128"/>
      <c r="D62" s="128"/>
      <c r="E62" s="135"/>
      <c r="F62" s="125"/>
    </row>
    <row r="63" spans="1:8" s="121" customFormat="1" ht="29.25" customHeight="1" x14ac:dyDescent="0.45">
      <c r="A63" s="132" t="s">
        <v>88</v>
      </c>
      <c r="B63" s="133"/>
      <c r="C63" s="128"/>
      <c r="D63" s="128"/>
      <c r="E63" s="129"/>
      <c r="F63" s="125"/>
    </row>
    <row r="64" spans="1:8" s="138" customFormat="1" ht="29.25" customHeight="1" x14ac:dyDescent="0.45">
      <c r="A64" s="132"/>
      <c r="B64" s="133"/>
      <c r="C64" s="136"/>
      <c r="D64" s="136"/>
      <c r="E64" s="137"/>
      <c r="F64" s="137"/>
    </row>
  </sheetData>
  <mergeCells count="9">
    <mergeCell ref="A59:B60"/>
    <mergeCell ref="A61:B62"/>
    <mergeCell ref="A63:B64"/>
    <mergeCell ref="A2:F2"/>
    <mergeCell ref="A3:F3"/>
    <mergeCell ref="A9:A10"/>
    <mergeCell ref="B9:B10"/>
    <mergeCell ref="A57:B58"/>
    <mergeCell ref="C57:E58"/>
  </mergeCells>
  <phoneticPr fontId="4" type="noConversion"/>
  <hyperlinks>
    <hyperlink ref="F1" r:id="rId1" display="zerowu1114@ms.tertec.org.tw"/>
  </hyperlinks>
  <printOptions horizontalCentered="1" verticalCentered="1"/>
  <pageMargins left="0.23622047244094491" right="0.23622047244094491" top="0.55118110236220474" bottom="0.55118110236220474" header="0.31496062992125984" footer="0.19685039370078741"/>
  <pageSetup paperSize="9" scale="39" orientation="portrait" r:id="rId2"/>
  <headerFooter alignWithMargins="0"/>
  <colBreaks count="1" manualBreakCount="1">
    <brk id="6" max="65" man="1"/>
  </colBreaks>
  <drawing r:id="rId3"/>
  <legacyDrawing r:id="rId4"/>
  <oleObjects>
    <mc:AlternateContent xmlns:mc="http://schemas.openxmlformats.org/markup-compatibility/2006">
      <mc:Choice Requires="x14">
        <oleObject progId="Paint.Picture" shapeId="1025" r:id="rId5">
          <objectPr defaultSize="0" autoPict="0" r:id="rId6">
            <anchor moveWithCells="1">
              <from>
                <xdr:col>1</xdr:col>
                <xdr:colOff>2667000</xdr:colOff>
                <xdr:row>1</xdr:row>
                <xdr:rowOff>171450</xdr:rowOff>
              </from>
              <to>
                <xdr:col>1</xdr:col>
                <xdr:colOff>3390900</xdr:colOff>
                <xdr:row>2</xdr:row>
                <xdr:rowOff>28575</xdr:rowOff>
              </to>
            </anchor>
          </objectPr>
        </oleObject>
      </mc:Choice>
      <mc:Fallback>
        <oleObject progId="Paint.Picture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F-26200</vt:lpstr>
      <vt:lpstr>'F-26200'!Print_Area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鄭程宏</dc:creator>
  <cp:lastModifiedBy>鄭程宏</cp:lastModifiedBy>
  <dcterms:created xsi:type="dcterms:W3CDTF">2026-01-12T06:08:50Z</dcterms:created>
  <dcterms:modified xsi:type="dcterms:W3CDTF">2026-01-12T06:09:58Z</dcterms:modified>
</cp:coreProperties>
</file>